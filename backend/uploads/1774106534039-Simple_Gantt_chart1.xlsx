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7C352A7F3CAD4685/Documents/"/>
    </mc:Choice>
  </mc:AlternateContent>
  <xr:revisionPtr revIDLastSave="0" documentId="8_{399F898A-5F9C-4990-A493-01CC01413EA8}"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F30" i="11"/>
  <c r="F29" i="11"/>
  <c r="E29" i="11"/>
  <c r="F25" i="11"/>
  <c r="E25" i="11"/>
  <c r="H28" i="11"/>
  <c r="H24" i="11"/>
  <c r="E21" i="11"/>
  <c r="F21" i="11" s="1"/>
  <c r="E22" i="11" s="1"/>
  <c r="H7" i="11"/>
  <c r="E26" i="11" l="1"/>
  <c r="F22" i="11"/>
  <c r="E23" i="11" s="1"/>
  <c r="H21" i="11"/>
  <c r="H20" i="11"/>
  <c r="H16" i="11"/>
  <c r="H12" i="11"/>
  <c r="H8" i="11"/>
  <c r="F26" i="11" l="1"/>
  <c r="E27" i="11" s="1"/>
  <c r="E30" i="11" s="1"/>
  <c r="E31" i="11" s="1"/>
  <c r="H25" i="11"/>
  <c r="F23" i="11"/>
  <c r="H23" i="11" s="1"/>
  <c r="H22" i="11"/>
  <c r="I5" i="11"/>
  <c r="I6" i="11" s="1"/>
  <c r="E9" i="11"/>
  <c r="F9" i="11" s="1"/>
  <c r="E10" i="11" s="1"/>
  <c r="F10" i="11" s="1"/>
  <c r="E11" i="11" s="1"/>
  <c r="F11" i="11" s="1"/>
  <c r="E13" i="11" s="1"/>
  <c r="H29" i="11" l="1"/>
  <c r="H31" i="11"/>
  <c r="H30" i="11"/>
  <c r="F27" i="11"/>
  <c r="H27" i="11" s="1"/>
  <c r="H26" i="11"/>
  <c r="E14" i="11"/>
  <c r="F13" i="11"/>
  <c r="H13" i="11"/>
  <c r="J5" i="11"/>
  <c r="I4" i="11"/>
  <c r="F14" i="11" l="1"/>
  <c r="E15" i="11" s="1"/>
  <c r="H14" i="11"/>
  <c r="H10" i="11"/>
  <c r="J6" i="11"/>
  <c r="K5" i="11"/>
  <c r="H9" i="11"/>
  <c r="F15" i="11" l="1"/>
  <c r="E17" i="11" s="1"/>
  <c r="K6" i="11"/>
  <c r="L5" i="11"/>
  <c r="H11" i="11"/>
  <c r="H15" i="11" l="1"/>
  <c r="F17" i="11"/>
  <c r="E18" i="11" s="1"/>
  <c r="E19" i="11" s="1"/>
  <c r="H17" i="11"/>
  <c r="L6" i="11"/>
  <c r="M5" i="11"/>
  <c r="F19" i="11" l="1"/>
  <c r="F18" i="11"/>
  <c r="H18" i="11" s="1"/>
  <c r="N5" i="11"/>
  <c r="M6" i="11"/>
  <c r="H19" i="11" l="1"/>
  <c r="O5" i="11"/>
  <c r="N6" i="11"/>
  <c r="P5" i="11" l="1"/>
  <c r="O6" i="11"/>
  <c r="P4" i="11" l="1"/>
  <c r="P6" i="11"/>
  <c r="Q5" i="11"/>
  <c r="Q6" i="11" l="1"/>
  <c r="R5" i="11"/>
  <c r="R6" i="11" l="1"/>
  <c r="S5" i="11"/>
  <c r="T5" i="11" l="1"/>
  <c r="S6" i="11"/>
  <c r="T6" i="11" l="1"/>
  <c r="U5" i="11"/>
  <c r="U6" i="11" l="1"/>
  <c r="V5" i="11"/>
  <c r="W5" i="11" l="1"/>
  <c r="V6" i="11"/>
  <c r="X5" i="11" l="1"/>
  <c r="W6" i="11"/>
  <c r="W4" i="11"/>
  <c r="Y5" i="11" l="1"/>
  <c r="X6" i="11"/>
  <c r="Y6" i="11" l="1"/>
  <c r="Z5" i="11"/>
  <c r="Z6" i="11" l="1"/>
  <c r="AA5" i="11"/>
  <c r="AB5" i="11" l="1"/>
  <c r="AA6" i="11"/>
  <c r="AB6" i="11" l="1"/>
  <c r="AC5" i="11"/>
  <c r="AC6" i="11" l="1"/>
  <c r="AD5" i="11"/>
  <c r="AD4" i="11" l="1"/>
  <c r="AE5" i="11"/>
  <c r="AD6" i="11"/>
  <c r="AE6" i="11" l="1"/>
  <c r="AF5" i="11"/>
  <c r="AG5" i="11" l="1"/>
  <c r="AF6" i="11"/>
  <c r="AH5" i="11" l="1"/>
  <c r="AG6" i="11"/>
  <c r="AI5" i="11" l="1"/>
  <c r="AH6" i="11"/>
  <c r="AI6" i="11" l="1"/>
  <c r="AJ5" i="11"/>
  <c r="AK5" i="11" l="1"/>
  <c r="AJ6" i="11"/>
  <c r="AK4" i="11" l="1"/>
  <c r="AK6" i="11"/>
  <c r="AL5" i="11"/>
  <c r="AL6" i="11" l="1"/>
  <c r="AM5" i="11"/>
  <c r="AN5" i="11" l="1"/>
  <c r="AM6" i="11"/>
  <c r="AO5" i="11" l="1"/>
  <c r="AN6" i="11"/>
  <c r="AP5" i="11" l="1"/>
  <c r="AO6" i="11"/>
  <c r="AP6" i="11" l="1"/>
  <c r="AQ5" i="11"/>
  <c r="AR5" i="11" l="1"/>
  <c r="AQ6" i="11"/>
  <c r="AR6" i="11" l="1"/>
  <c r="AR4" i="11"/>
  <c r="AS5" i="11"/>
  <c r="AT5" i="11" l="1"/>
  <c r="AS6" i="11"/>
  <c r="AU5" i="11" l="1"/>
  <c r="AT6" i="11"/>
  <c r="AV5" i="11" l="1"/>
  <c r="AU6" i="11"/>
  <c r="AW5" i="11" l="1"/>
  <c r="AV6" i="11"/>
  <c r="AW6" i="11" l="1"/>
  <c r="AX5" i="11"/>
  <c r="AY5" i="11" l="1"/>
  <c r="AX6" i="11"/>
  <c r="AZ5" i="11" l="1"/>
  <c r="AY4" i="11"/>
  <c r="AY6" i="11"/>
  <c r="AZ6" i="11" l="1"/>
  <c r="BA5" i="11"/>
  <c r="BA6" i="11" l="1"/>
  <c r="BB5" i="11"/>
  <c r="BC5" i="11" l="1"/>
  <c r="BB6" i="11"/>
  <c r="BC6" i="11" l="1"/>
  <c r="BD5" i="11"/>
  <c r="BE5" i="11" l="1"/>
  <c r="BD6" i="11"/>
  <c r="BF5" i="11" l="1"/>
  <c r="BE6" i="11"/>
  <c r="BF4" i="11" l="1"/>
  <c r="BF6" i="11"/>
  <c r="BG5" i="11"/>
  <c r="BH5" i="11" l="1"/>
  <c r="BG6" i="11"/>
  <c r="BH6" i="11" l="1"/>
  <c r="BI5" i="11"/>
  <c r="BI6" i="11" l="1"/>
  <c r="BJ5" i="11"/>
  <c r="BJ6" i="11" l="1"/>
  <c r="BK5" i="11"/>
  <c r="BL5" i="11" l="1"/>
  <c r="BL6" i="11" s="1"/>
  <c r="BK6" i="11"/>
</calcChain>
</file>

<file path=xl/sharedStrings.xml><?xml version="1.0" encoding="utf-8"?>
<sst xmlns="http://schemas.openxmlformats.org/spreadsheetml/2006/main" count="47" uniqueCount="47">
  <si>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</si>
  <si>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</si>
  <si>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</si>
  <si>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</si>
  <si>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</si>
  <si>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</si>
  <si>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</si>
  <si>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</si>
  <si>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</si>
  <si>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</si>
  <si>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</si>
  <si>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</si>
  <si>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</si>
  <si>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</si>
  <si>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</si>
  <si>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</si>
  <si>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</si>
  <si>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</si>
  <si>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</si>
  <si>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</si>
  <si>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</si>
  <si>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Celestica GBS Malaysia Sdn Bhd</t>
  </si>
  <si>
    <t xml:space="preserve">Task Tracking and Workload Monitoring System </t>
  </si>
  <si>
    <t>Requirement Analysis</t>
  </si>
  <si>
    <t>Conduct interviews and discussions</t>
  </si>
  <si>
    <t>Identify functional and non-functional requirements</t>
  </si>
  <si>
    <t>Prepare and validate the SRS document</t>
  </si>
  <si>
    <t>System Design</t>
  </si>
  <si>
    <t>Create database schema and ERD</t>
  </si>
  <si>
    <t xml:space="preserve">Develop user interface and workflow diagrams </t>
  </si>
  <si>
    <t>Improve the design based on SV feedback</t>
  </si>
  <si>
    <t>Implementation / Development</t>
  </si>
  <si>
    <t xml:space="preserve">Develop the main system components </t>
  </si>
  <si>
    <t>Implement task status tracking</t>
  </si>
  <si>
    <t>Implement dashboard and reporting tools</t>
  </si>
  <si>
    <t>Testing &amp; Debugging</t>
  </si>
  <si>
    <t xml:space="preserve">Conduct unit testing </t>
  </si>
  <si>
    <t xml:space="preserve">Conduct user acceptance testing (UAT) </t>
  </si>
  <si>
    <t>Fix errors and optimize performance</t>
  </si>
  <si>
    <t>Deployment</t>
  </si>
  <si>
    <t xml:space="preserve">Install and configure CERMS </t>
  </si>
  <si>
    <t>Provide system orientation and training to users</t>
  </si>
  <si>
    <t>Track pilot usage and collect feedback</t>
  </si>
  <si>
    <t>Documentation &amp; Evaluation</t>
  </si>
  <si>
    <t>Prepare technical documentation, user manual</t>
  </si>
  <si>
    <t>Create final report and summarize findings</t>
  </si>
  <si>
    <t>Present project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</si>
</sst>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2" tint="-9.9978637043366805E-2"/>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9" fillId="12" borderId="20" xfId="0" applyNumberFormat="1" applyFont="1" applyFill="1" applyBorder="1" applyAlignment="1">
      <alignment horizontal="center" vertical="center"/>
    </xf>
    <xf numFmtId="168" fontId="19" fillId="12" borderId="18" xfId="0" applyNumberFormat="1" applyFont="1" applyFill="1" applyBorder="1" applyAlignment="1">
      <alignment horizontal="center" vertical="center"/>
    </xf>
    <xf numFmtId="168"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5"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5"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5" fontId="17"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5"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5" fontId="17"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5"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5" fontId="17"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5"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5" fillId="0" borderId="0" xfId="0" applyFont="1" applyAlignment="1">
      <alignment horizontal="left" vertical="top" wrapText="1" indent="1"/>
    </xf>
    <xf numFmtId="0" fontId="0" fillId="0" borderId="0" xfId="0" applyAlignment="1">
      <alignment horizontal="left" vertical="top" wrapText="1" indent="1"/>
    </xf>
    <xf numFmtId="0" fontId="26" fillId="0" borderId="0" xfId="1" applyFont="1" applyAlignment="1" applyProtection="1">
      <alignment horizontal="left" vertical="top" indent="1"/>
    </xf>
    <xf numFmtId="0" fontId="1" fillId="0" borderId="0" xfId="0" applyFont="1" applyAlignment="1">
      <alignment horizontal="left" vertical="top" indent="1"/>
    </xf>
    <xf numFmtId="0" fontId="23" fillId="0" borderId="0" xfId="5" applyFont="1" applyAlignment="1">
      <alignment horizontal="left"/>
    </xf>
    <xf numFmtId="167" fontId="17" fillId="2" borderId="13" xfId="0" applyNumberFormat="1" applyFont="1" applyFill="1" applyBorder="1" applyAlignment="1">
      <alignment horizontal="center" vertical="center" wrapText="1"/>
    </xf>
    <xf numFmtId="167" fontId="17" fillId="2" borderId="19" xfId="0" applyNumberFormat="1" applyFont="1" applyFill="1" applyBorder="1" applyAlignment="1">
      <alignment horizontal="center" vertical="center" wrapText="1"/>
    </xf>
    <xf numFmtId="167" fontId="17" fillId="2" borderId="18" xfId="0" applyNumberFormat="1" applyFont="1" applyFill="1" applyBorder="1" applyAlignment="1">
      <alignment horizontal="center" vertical="center" wrapText="1"/>
    </xf>
    <xf numFmtId="0" fontId="18"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24" fillId="0" borderId="0" xfId="0" applyFont="1"/>
    <xf numFmtId="166" fontId="23" fillId="0" borderId="0" xfId="9" applyFont="1" applyBorder="1" applyAlignment="1">
      <alignment horizontal="left"/>
    </xf>
    <xf numFmtId="0" fontId="22" fillId="0" borderId="0" xfId="8" applyFont="1" applyAlignment="1">
      <alignment horizontal="left"/>
    </xf>
    <xf numFmtId="0" fontId="4" fillId="0" borderId="0" xfId="0" applyFont="1"/>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17" fillId="14" borderId="0" xfId="11" applyFont="1" applyFill="1" applyBorder="1" applyAlignment="1">
      <alignment vertical="center"/>
    </xf>
    <xf numFmtId="9" fontId="1" fillId="14" borderId="0" xfId="2" applyFont="1" applyFill="1" applyBorder="1" applyAlignment="1">
      <alignment horizontal="center" vertical="center"/>
    </xf>
    <xf numFmtId="0" fontId="21" fillId="14" borderId="0" xfId="0" applyFont="1" applyFill="1" applyAlignment="1">
      <alignment horizontal="left" vertical="center" indent="1"/>
    </xf>
    <xf numFmtId="165" fontId="17" fillId="14" borderId="0" xfId="0" applyNumberFormat="1" applyFont="1" applyFill="1" applyAlignment="1">
      <alignment horizontal="center" vertical="center"/>
    </xf>
    <xf numFmtId="165" fontId="1" fillId="14" borderId="0" xfId="0" applyNumberFormat="1" applyFont="1" applyFill="1" applyAlignment="1">
      <alignment horizontal="center" vertical="center"/>
    </xf>
    <xf numFmtId="0" fontId="17" fillId="13" borderId="9" xfId="12" applyFont="1" applyFill="1" applyBorder="1">
      <alignment horizontal="left" vertical="center" indent="2"/>
    </xf>
    <xf numFmtId="0" fontId="17" fillId="13" borderId="9" xfId="11" applyFont="1" applyFill="1" applyBorder="1" applyAlignment="1">
      <alignment vertical="center"/>
    </xf>
    <xf numFmtId="9" fontId="1" fillId="13" borderId="9" xfId="2" applyFont="1" applyFill="1" applyBorder="1" applyAlignment="1">
      <alignment horizontal="center" vertical="center"/>
    </xf>
    <xf numFmtId="165" fontId="17" fillId="13" borderId="9" xfId="10" applyFont="1" applyFill="1" applyBorder="1">
      <alignment horizontal="center" vertical="center"/>
    </xf>
    <xf numFmtId="0" fontId="21" fillId="15" borderId="0" xfId="0" applyFont="1" applyFill="1" applyAlignment="1">
      <alignment horizontal="left" vertical="center" indent="1"/>
    </xf>
    <xf numFmtId="0" fontId="17" fillId="15" borderId="0" xfId="11" applyFont="1" applyFill="1" applyBorder="1" applyAlignment="1">
      <alignment vertical="center"/>
    </xf>
    <xf numFmtId="9" fontId="1" fillId="15" borderId="0" xfId="2" applyFont="1" applyFill="1" applyBorder="1" applyAlignment="1">
      <alignment horizontal="center" vertical="center"/>
    </xf>
    <xf numFmtId="165" fontId="17" fillId="15" borderId="0" xfId="0" applyNumberFormat="1" applyFont="1" applyFill="1" applyAlignment="1">
      <alignment horizontal="center" vertical="center"/>
    </xf>
    <xf numFmtId="165" fontId="1" fillId="15" borderId="0" xfId="0" applyNumberFormat="1" applyFont="1" applyFill="1" applyAlignment="1">
      <alignment horizontal="center" vertical="center"/>
    </xf>
    <xf numFmtId="0" fontId="17" fillId="16" borderId="9" xfId="12" applyFont="1" applyFill="1" applyBorder="1">
      <alignment horizontal="left" vertical="center" indent="2"/>
    </xf>
    <xf numFmtId="0" fontId="17" fillId="16" borderId="9" xfId="11" applyFont="1" applyFill="1" applyBorder="1" applyAlignment="1">
      <alignment vertical="center"/>
    </xf>
    <xf numFmtId="9" fontId="1" fillId="16" borderId="9" xfId="2" applyFont="1" applyFill="1" applyBorder="1" applyAlignment="1">
      <alignment horizontal="center" vertical="center"/>
    </xf>
    <xf numFmtId="165" fontId="17" fillId="16" borderId="9" xfId="10" applyFont="1" applyFill="1" applyBorder="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4">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1"/>
  <sheetViews>
    <sheetView showGridLines="0" tabSelected="1" showRuler="0" zoomScaleNormal="100" zoomScalePageLayoutView="70" workbookViewId="0">
      <selection activeCell="Q2" sqref="Q2:Z2"/>
    </sheetView>
  </sheetViews>
  <sheetFormatPr defaultColWidth="8.69921875" defaultRowHeight="30" customHeight="1" x14ac:dyDescent="0.25"/>
  <cols>
    <col min="1" max="1" width="2.69921875" style="10"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0.6">
      <c r="A1" s="11"/>
      <c r="B1" s="90" t="s">
        <v>22</v>
      </c>
      <c r="C1" s="13"/>
      <c r="D1" s="14"/>
      <c r="E1" s="15"/>
      <c r="F1" s="16"/>
      <c r="H1" s="1"/>
      <c r="I1" s="99" t="s">
        <v>19</v>
      </c>
      <c r="J1" s="100"/>
      <c r="K1" s="100"/>
      <c r="L1" s="100"/>
      <c r="M1" s="100"/>
      <c r="N1" s="100"/>
      <c r="O1" s="100"/>
      <c r="P1" s="19"/>
      <c r="Q1" s="98">
        <v>45956</v>
      </c>
      <c r="R1" s="97"/>
      <c r="S1" s="97"/>
      <c r="T1" s="97"/>
      <c r="U1" s="97"/>
      <c r="V1" s="97"/>
      <c r="W1" s="97"/>
      <c r="X1" s="97"/>
      <c r="Y1" s="97"/>
      <c r="Z1" s="97"/>
    </row>
    <row r="2" spans="1:64" ht="30" customHeight="1" x14ac:dyDescent="0.6">
      <c r="B2" s="81" t="s">
        <v>21</v>
      </c>
      <c r="C2" s="82"/>
      <c r="D2" s="17"/>
      <c r="E2" s="18"/>
      <c r="F2" s="17"/>
      <c r="I2" s="99" t="s">
        <v>20</v>
      </c>
      <c r="J2" s="100"/>
      <c r="K2" s="100"/>
      <c r="L2" s="100"/>
      <c r="M2" s="100"/>
      <c r="N2" s="100"/>
      <c r="O2" s="100"/>
      <c r="P2" s="19"/>
      <c r="Q2" s="96">
        <v>1</v>
      </c>
      <c r="R2" s="97"/>
      <c r="S2" s="97"/>
      <c r="T2" s="97"/>
      <c r="U2" s="97"/>
      <c r="V2" s="97"/>
      <c r="W2" s="97"/>
      <c r="X2" s="97"/>
      <c r="Y2" s="97"/>
      <c r="Z2" s="97"/>
    </row>
    <row r="3" spans="1:64" s="21" customFormat="1" ht="30" customHeight="1" x14ac:dyDescent="0.25">
      <c r="A3" s="10"/>
      <c r="B3" s="20"/>
      <c r="D3" s="22"/>
      <c r="E3" s="23"/>
    </row>
    <row r="4" spans="1:64" s="21" customFormat="1" ht="30" customHeight="1" x14ac:dyDescent="0.25">
      <c r="A4" s="11"/>
      <c r="B4" s="24"/>
      <c r="E4" s="25"/>
      <c r="I4" s="93">
        <f>I5</f>
        <v>45957</v>
      </c>
      <c r="J4" s="91"/>
      <c r="K4" s="91"/>
      <c r="L4" s="91"/>
      <c r="M4" s="91"/>
      <c r="N4" s="91"/>
      <c r="O4" s="91"/>
      <c r="P4" s="91">
        <f>P5</f>
        <v>45964</v>
      </c>
      <c r="Q4" s="91"/>
      <c r="R4" s="91"/>
      <c r="S4" s="91"/>
      <c r="T4" s="91"/>
      <c r="U4" s="91"/>
      <c r="V4" s="91"/>
      <c r="W4" s="91">
        <f>W5</f>
        <v>45971</v>
      </c>
      <c r="X4" s="91"/>
      <c r="Y4" s="91"/>
      <c r="Z4" s="91"/>
      <c r="AA4" s="91"/>
      <c r="AB4" s="91"/>
      <c r="AC4" s="91"/>
      <c r="AD4" s="91">
        <f>AD5</f>
        <v>45978</v>
      </c>
      <c r="AE4" s="91"/>
      <c r="AF4" s="91"/>
      <c r="AG4" s="91"/>
      <c r="AH4" s="91"/>
      <c r="AI4" s="91"/>
      <c r="AJ4" s="91"/>
      <c r="AK4" s="91">
        <f>AK5</f>
        <v>45985</v>
      </c>
      <c r="AL4" s="91"/>
      <c r="AM4" s="91"/>
      <c r="AN4" s="91"/>
      <c r="AO4" s="91"/>
      <c r="AP4" s="91"/>
      <c r="AQ4" s="91"/>
      <c r="AR4" s="91">
        <f>AR5</f>
        <v>45992</v>
      </c>
      <c r="AS4" s="91"/>
      <c r="AT4" s="91"/>
      <c r="AU4" s="91"/>
      <c r="AV4" s="91"/>
      <c r="AW4" s="91"/>
      <c r="AX4" s="91"/>
      <c r="AY4" s="91">
        <f>AY5</f>
        <v>45999</v>
      </c>
      <c r="AZ4" s="91"/>
      <c r="BA4" s="91"/>
      <c r="BB4" s="91"/>
      <c r="BC4" s="91"/>
      <c r="BD4" s="91"/>
      <c r="BE4" s="91"/>
      <c r="BF4" s="91">
        <f>BF5</f>
        <v>46006</v>
      </c>
      <c r="BG4" s="91"/>
      <c r="BH4" s="91"/>
      <c r="BI4" s="91"/>
      <c r="BJ4" s="91"/>
      <c r="BK4" s="91"/>
      <c r="BL4" s="92"/>
    </row>
    <row r="5" spans="1:64" s="21" customFormat="1" ht="15" customHeight="1" x14ac:dyDescent="0.25">
      <c r="A5" s="101"/>
      <c r="B5" s="102" t="s">
        <v>4</v>
      </c>
      <c r="C5" s="104"/>
      <c r="D5" s="94" t="s">
        <v>0</v>
      </c>
      <c r="E5" s="94" t="s">
        <v>2</v>
      </c>
      <c r="F5" s="94" t="s">
        <v>3</v>
      </c>
      <c r="I5" s="26">
        <f>Project_Start-WEEKDAY(Project_Start,1)+2+7*(Display_Week-1)</f>
        <v>45957</v>
      </c>
      <c r="J5" s="26">
        <f>I5+1</f>
        <v>45958</v>
      </c>
      <c r="K5" s="26">
        <f t="shared" ref="K5:AX5" si="0">J5+1</f>
        <v>45959</v>
      </c>
      <c r="L5" s="26">
        <f t="shared" si="0"/>
        <v>45960</v>
      </c>
      <c r="M5" s="26">
        <f t="shared" si="0"/>
        <v>45961</v>
      </c>
      <c r="N5" s="26">
        <f t="shared" si="0"/>
        <v>45962</v>
      </c>
      <c r="O5" s="27">
        <f t="shared" si="0"/>
        <v>45963</v>
      </c>
      <c r="P5" s="28">
        <f>O5+1</f>
        <v>45964</v>
      </c>
      <c r="Q5" s="26">
        <f>P5+1</f>
        <v>45965</v>
      </c>
      <c r="R5" s="26">
        <f t="shared" si="0"/>
        <v>45966</v>
      </c>
      <c r="S5" s="26">
        <f t="shared" si="0"/>
        <v>45967</v>
      </c>
      <c r="T5" s="26">
        <f t="shared" si="0"/>
        <v>45968</v>
      </c>
      <c r="U5" s="26">
        <f t="shared" si="0"/>
        <v>45969</v>
      </c>
      <c r="V5" s="27">
        <f t="shared" si="0"/>
        <v>45970</v>
      </c>
      <c r="W5" s="28">
        <f>V5+1</f>
        <v>45971</v>
      </c>
      <c r="X5" s="26">
        <f>W5+1</f>
        <v>45972</v>
      </c>
      <c r="Y5" s="26">
        <f t="shared" si="0"/>
        <v>45973</v>
      </c>
      <c r="Z5" s="26">
        <f t="shared" si="0"/>
        <v>45974</v>
      </c>
      <c r="AA5" s="26">
        <f t="shared" si="0"/>
        <v>45975</v>
      </c>
      <c r="AB5" s="26">
        <f t="shared" si="0"/>
        <v>45976</v>
      </c>
      <c r="AC5" s="27">
        <f t="shared" si="0"/>
        <v>45977</v>
      </c>
      <c r="AD5" s="28">
        <f>AC5+1</f>
        <v>45978</v>
      </c>
      <c r="AE5" s="26">
        <f>AD5+1</f>
        <v>45979</v>
      </c>
      <c r="AF5" s="26">
        <f t="shared" si="0"/>
        <v>45980</v>
      </c>
      <c r="AG5" s="26">
        <f t="shared" si="0"/>
        <v>45981</v>
      </c>
      <c r="AH5" s="26">
        <f t="shared" si="0"/>
        <v>45982</v>
      </c>
      <c r="AI5" s="26">
        <f t="shared" si="0"/>
        <v>45983</v>
      </c>
      <c r="AJ5" s="27">
        <f t="shared" si="0"/>
        <v>45984</v>
      </c>
      <c r="AK5" s="28">
        <f>AJ5+1</f>
        <v>45985</v>
      </c>
      <c r="AL5" s="26">
        <f>AK5+1</f>
        <v>45986</v>
      </c>
      <c r="AM5" s="26">
        <f t="shared" si="0"/>
        <v>45987</v>
      </c>
      <c r="AN5" s="26">
        <f t="shared" si="0"/>
        <v>45988</v>
      </c>
      <c r="AO5" s="26">
        <f t="shared" si="0"/>
        <v>45989</v>
      </c>
      <c r="AP5" s="26">
        <f t="shared" si="0"/>
        <v>45990</v>
      </c>
      <c r="AQ5" s="27">
        <f t="shared" si="0"/>
        <v>45991</v>
      </c>
      <c r="AR5" s="28">
        <f>AQ5+1</f>
        <v>45992</v>
      </c>
      <c r="AS5" s="26">
        <f>AR5+1</f>
        <v>45993</v>
      </c>
      <c r="AT5" s="26">
        <f t="shared" si="0"/>
        <v>45994</v>
      </c>
      <c r="AU5" s="26">
        <f t="shared" si="0"/>
        <v>45995</v>
      </c>
      <c r="AV5" s="26">
        <f t="shared" si="0"/>
        <v>45996</v>
      </c>
      <c r="AW5" s="26">
        <f t="shared" si="0"/>
        <v>45997</v>
      </c>
      <c r="AX5" s="27">
        <f t="shared" si="0"/>
        <v>45998</v>
      </c>
      <c r="AY5" s="28">
        <f>AX5+1</f>
        <v>45999</v>
      </c>
      <c r="AZ5" s="26">
        <f>AY5+1</f>
        <v>46000</v>
      </c>
      <c r="BA5" s="26">
        <f t="shared" ref="BA5:BE5" si="1">AZ5+1</f>
        <v>46001</v>
      </c>
      <c r="BB5" s="26">
        <f t="shared" si="1"/>
        <v>46002</v>
      </c>
      <c r="BC5" s="26">
        <f t="shared" si="1"/>
        <v>46003</v>
      </c>
      <c r="BD5" s="26">
        <f t="shared" si="1"/>
        <v>46004</v>
      </c>
      <c r="BE5" s="27">
        <f t="shared" si="1"/>
        <v>46005</v>
      </c>
      <c r="BF5" s="28">
        <f>BE5+1</f>
        <v>46006</v>
      </c>
      <c r="BG5" s="26">
        <f>BF5+1</f>
        <v>46007</v>
      </c>
      <c r="BH5" s="26">
        <f t="shared" ref="BH5:BL5" si="2">BG5+1</f>
        <v>46008</v>
      </c>
      <c r="BI5" s="26">
        <f t="shared" si="2"/>
        <v>46009</v>
      </c>
      <c r="BJ5" s="26">
        <f t="shared" si="2"/>
        <v>46010</v>
      </c>
      <c r="BK5" s="26">
        <f t="shared" si="2"/>
        <v>46011</v>
      </c>
      <c r="BL5" s="26">
        <f t="shared" si="2"/>
        <v>46012</v>
      </c>
    </row>
    <row r="6" spans="1:64" s="21" customFormat="1" ht="15" customHeight="1" thickBot="1" x14ac:dyDescent="0.3">
      <c r="A6" s="101"/>
      <c r="B6" s="103"/>
      <c r="C6" s="95"/>
      <c r="D6" s="95"/>
      <c r="E6" s="95"/>
      <c r="F6" s="95"/>
      <c r="I6" s="29" t="str">
        <f t="shared" ref="I6:AN6" si="3">LEFT(TEXT(I5,"ddd"),1)</f>
        <v>M</v>
      </c>
      <c r="J6" s="30" t="str">
        <f t="shared" si="3"/>
        <v>T</v>
      </c>
      <c r="K6" s="30" t="str">
        <f t="shared" si="3"/>
        <v>W</v>
      </c>
      <c r="L6" s="30" t="str">
        <f t="shared" si="3"/>
        <v>T</v>
      </c>
      <c r="M6" s="30" t="str">
        <f t="shared" si="3"/>
        <v>F</v>
      </c>
      <c r="N6" s="30" t="str">
        <f t="shared" si="3"/>
        <v>S</v>
      </c>
      <c r="O6" s="30" t="str">
        <f t="shared" si="3"/>
        <v>S</v>
      </c>
      <c r="P6" s="30" t="str">
        <f t="shared" si="3"/>
        <v>M</v>
      </c>
      <c r="Q6" s="30" t="str">
        <f t="shared" si="3"/>
        <v>T</v>
      </c>
      <c r="R6" s="30" t="str">
        <f t="shared" si="3"/>
        <v>W</v>
      </c>
      <c r="S6" s="30" t="str">
        <f t="shared" si="3"/>
        <v>T</v>
      </c>
      <c r="T6" s="30" t="str">
        <f t="shared" si="3"/>
        <v>F</v>
      </c>
      <c r="U6" s="30" t="str">
        <f t="shared" si="3"/>
        <v>S</v>
      </c>
      <c r="V6" s="30" t="str">
        <f t="shared" si="3"/>
        <v>S</v>
      </c>
      <c r="W6" s="30" t="str">
        <f t="shared" si="3"/>
        <v>M</v>
      </c>
      <c r="X6" s="30" t="str">
        <f t="shared" si="3"/>
        <v>T</v>
      </c>
      <c r="Y6" s="30" t="str">
        <f t="shared" si="3"/>
        <v>W</v>
      </c>
      <c r="Z6" s="30" t="str">
        <f t="shared" si="3"/>
        <v>T</v>
      </c>
      <c r="AA6" s="30" t="str">
        <f t="shared" si="3"/>
        <v>F</v>
      </c>
      <c r="AB6" s="30" t="str">
        <f t="shared" si="3"/>
        <v>S</v>
      </c>
      <c r="AC6" s="30" t="str">
        <f t="shared" si="3"/>
        <v>S</v>
      </c>
      <c r="AD6" s="30" t="str">
        <f t="shared" si="3"/>
        <v>M</v>
      </c>
      <c r="AE6" s="30" t="str">
        <f t="shared" si="3"/>
        <v>T</v>
      </c>
      <c r="AF6" s="30" t="str">
        <f t="shared" si="3"/>
        <v>W</v>
      </c>
      <c r="AG6" s="30" t="str">
        <f t="shared" si="3"/>
        <v>T</v>
      </c>
      <c r="AH6" s="30" t="str">
        <f t="shared" si="3"/>
        <v>F</v>
      </c>
      <c r="AI6" s="30" t="str">
        <f t="shared" si="3"/>
        <v>S</v>
      </c>
      <c r="AJ6" s="30" t="str">
        <f t="shared" si="3"/>
        <v>S</v>
      </c>
      <c r="AK6" s="30" t="str">
        <f t="shared" si="3"/>
        <v>M</v>
      </c>
      <c r="AL6" s="30" t="str">
        <f t="shared" si="3"/>
        <v>T</v>
      </c>
      <c r="AM6" s="30" t="str">
        <f t="shared" si="3"/>
        <v>W</v>
      </c>
      <c r="AN6" s="30" t="str">
        <f t="shared" si="3"/>
        <v>T</v>
      </c>
      <c r="AO6" s="30" t="str">
        <f t="shared" ref="AO6:BL6" si="4">LEFT(TEXT(AO5,"ddd"),1)</f>
        <v>F</v>
      </c>
      <c r="AP6" s="30" t="str">
        <f t="shared" si="4"/>
        <v>S</v>
      </c>
      <c r="AQ6" s="30" t="str">
        <f t="shared" si="4"/>
        <v>S</v>
      </c>
      <c r="AR6" s="30" t="str">
        <f t="shared" si="4"/>
        <v>M</v>
      </c>
      <c r="AS6" s="30" t="str">
        <f t="shared" si="4"/>
        <v>T</v>
      </c>
      <c r="AT6" s="30" t="str">
        <f t="shared" si="4"/>
        <v>W</v>
      </c>
      <c r="AU6" s="30" t="str">
        <f t="shared" si="4"/>
        <v>T</v>
      </c>
      <c r="AV6" s="30" t="str">
        <f t="shared" si="4"/>
        <v>F</v>
      </c>
      <c r="AW6" s="30" t="str">
        <f t="shared" si="4"/>
        <v>S</v>
      </c>
      <c r="AX6" s="30" t="str">
        <f t="shared" si="4"/>
        <v>S</v>
      </c>
      <c r="AY6" s="30" t="str">
        <f t="shared" si="4"/>
        <v>M</v>
      </c>
      <c r="AZ6" s="30" t="str">
        <f t="shared" si="4"/>
        <v>T</v>
      </c>
      <c r="BA6" s="30" t="str">
        <f t="shared" si="4"/>
        <v>W</v>
      </c>
      <c r="BB6" s="30" t="str">
        <f t="shared" si="4"/>
        <v>T</v>
      </c>
      <c r="BC6" s="30" t="str">
        <f t="shared" si="4"/>
        <v>F</v>
      </c>
      <c r="BD6" s="30" t="str">
        <f t="shared" si="4"/>
        <v>S</v>
      </c>
      <c r="BE6" s="30" t="str">
        <f t="shared" si="4"/>
        <v>S</v>
      </c>
      <c r="BF6" s="30" t="str">
        <f t="shared" si="4"/>
        <v>M</v>
      </c>
      <c r="BG6" s="30" t="str">
        <f t="shared" si="4"/>
        <v>T</v>
      </c>
      <c r="BH6" s="30" t="str">
        <f t="shared" si="4"/>
        <v>W</v>
      </c>
      <c r="BI6" s="30" t="str">
        <f t="shared" si="4"/>
        <v>T</v>
      </c>
      <c r="BJ6" s="30" t="str">
        <f t="shared" si="4"/>
        <v>F</v>
      </c>
      <c r="BK6" s="30" t="str">
        <f t="shared" si="4"/>
        <v>S</v>
      </c>
      <c r="BL6" s="31" t="str">
        <f t="shared" si="4"/>
        <v>S</v>
      </c>
    </row>
    <row r="7" spans="1:64" s="21" customFormat="1" ht="30" hidden="1" customHeight="1" thickBot="1" x14ac:dyDescent="0.3">
      <c r="A7" s="10" t="s">
        <v>18</v>
      </c>
      <c r="B7" s="32"/>
      <c r="C7" s="33"/>
      <c r="D7" s="32"/>
      <c r="E7" s="32"/>
      <c r="F7" s="32"/>
      <c r="H7" s="21"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x14ac:dyDescent="0.3">
      <c r="A8" s="11"/>
      <c r="B8" s="35" t="s">
        <v>23</v>
      </c>
      <c r="C8" s="36"/>
      <c r="D8" s="37"/>
      <c r="E8" s="38"/>
      <c r="F8" s="39"/>
      <c r="G8" s="12"/>
      <c r="H8" s="3" t="str">
        <f t="shared" ref="H8:H31"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thickBot="1" x14ac:dyDescent="0.3">
      <c r="A9" s="11"/>
      <c r="B9" s="42" t="s">
        <v>24</v>
      </c>
      <c r="C9" s="43"/>
      <c r="D9" s="44">
        <v>1</v>
      </c>
      <c r="E9" s="45">
        <f>Project_Start</f>
        <v>45956</v>
      </c>
      <c r="F9" s="45">
        <f>E9+6</f>
        <v>45962</v>
      </c>
      <c r="G9" s="12"/>
      <c r="H9" s="3">
        <f t="shared" si="5"/>
        <v>7</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41" customFormat="1" ht="30" customHeight="1" thickBot="1" x14ac:dyDescent="0.3">
      <c r="A10" s="11"/>
      <c r="B10" s="47" t="s">
        <v>25</v>
      </c>
      <c r="C10" s="48"/>
      <c r="D10" s="49">
        <v>1</v>
      </c>
      <c r="E10" s="50">
        <f>F9+1</f>
        <v>45963</v>
      </c>
      <c r="F10" s="50">
        <f>E10+3</f>
        <v>45966</v>
      </c>
      <c r="G10" s="12"/>
      <c r="H10" s="3">
        <f t="shared" si="5"/>
        <v>4</v>
      </c>
      <c r="I10" s="46"/>
      <c r="J10" s="46"/>
      <c r="K10" s="46"/>
      <c r="L10" s="46"/>
      <c r="M10" s="46"/>
      <c r="N10" s="46"/>
      <c r="O10" s="46"/>
      <c r="P10" s="46"/>
      <c r="Q10" s="46"/>
      <c r="R10" s="46"/>
      <c r="S10" s="46"/>
      <c r="T10" s="46"/>
      <c r="U10" s="51"/>
      <c r="V10" s="51"/>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41" customFormat="1" ht="30" customHeight="1" thickBot="1" x14ac:dyDescent="0.3">
      <c r="A11" s="10"/>
      <c r="B11" s="47" t="s">
        <v>26</v>
      </c>
      <c r="C11" s="48"/>
      <c r="D11" s="49">
        <v>1</v>
      </c>
      <c r="E11" s="50">
        <f>F10+1</f>
        <v>45967</v>
      </c>
      <c r="F11" s="50">
        <f>E11+2</f>
        <v>45969</v>
      </c>
      <c r="G11" s="12"/>
      <c r="H11" s="3">
        <f t="shared" si="5"/>
        <v>3</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41" customFormat="1" ht="30" customHeight="1" thickBot="1" x14ac:dyDescent="0.3">
      <c r="A12" s="11"/>
      <c r="B12" s="52" t="s">
        <v>27</v>
      </c>
      <c r="C12" s="53"/>
      <c r="D12" s="54"/>
      <c r="E12" s="55"/>
      <c r="F12" s="56"/>
      <c r="G12" s="12"/>
      <c r="H12" s="3" t="str">
        <f t="shared" si="5"/>
        <v/>
      </c>
    </row>
    <row r="13" spans="1:64" s="41" customFormat="1" ht="30" customHeight="1" thickBot="1" x14ac:dyDescent="0.3">
      <c r="A13" s="11"/>
      <c r="B13" s="57" t="s">
        <v>28</v>
      </c>
      <c r="C13" s="58"/>
      <c r="D13" s="59">
        <v>1</v>
      </c>
      <c r="E13" s="60">
        <f>F11+1</f>
        <v>45970</v>
      </c>
      <c r="F13" s="60">
        <f>E13+7</f>
        <v>45977</v>
      </c>
      <c r="G13" s="12"/>
      <c r="H13" s="3">
        <f t="shared" si="5"/>
        <v>8</v>
      </c>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row>
    <row r="14" spans="1:64" s="41" customFormat="1" ht="30" customHeight="1" thickBot="1" x14ac:dyDescent="0.3">
      <c r="A14" s="10"/>
      <c r="B14" s="57" t="s">
        <v>29</v>
      </c>
      <c r="C14" s="58"/>
      <c r="D14" s="59">
        <v>0.2</v>
      </c>
      <c r="E14" s="60">
        <f>E13+8</f>
        <v>45978</v>
      </c>
      <c r="F14" s="60">
        <f>E14+3</f>
        <v>45981</v>
      </c>
      <c r="G14" s="12"/>
      <c r="H14" s="3">
        <f t="shared" si="5"/>
        <v>4</v>
      </c>
      <c r="I14" s="46"/>
      <c r="J14" s="46"/>
      <c r="K14" s="46"/>
      <c r="L14" s="46"/>
      <c r="M14" s="46"/>
      <c r="N14" s="46"/>
      <c r="O14" s="46"/>
      <c r="P14" s="46"/>
      <c r="Q14" s="46"/>
      <c r="R14" s="46"/>
      <c r="S14" s="46"/>
      <c r="T14" s="46"/>
      <c r="U14" s="51"/>
      <c r="V14" s="51"/>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row>
    <row r="15" spans="1:64" s="41" customFormat="1" ht="30" customHeight="1" thickBot="1" x14ac:dyDescent="0.3">
      <c r="A15" s="10"/>
      <c r="B15" s="57" t="s">
        <v>30</v>
      </c>
      <c r="C15" s="58"/>
      <c r="D15" s="59">
        <v>0</v>
      </c>
      <c r="E15" s="60">
        <f>F14</f>
        <v>45981</v>
      </c>
      <c r="F15" s="60">
        <f>E15+3</f>
        <v>45984</v>
      </c>
      <c r="G15" s="12"/>
      <c r="H15" s="3">
        <f t="shared" si="5"/>
        <v>4</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41" customFormat="1" ht="30" customHeight="1" thickBot="1" x14ac:dyDescent="0.3">
      <c r="A16" s="10"/>
      <c r="B16" s="61" t="s">
        <v>31</v>
      </c>
      <c r="C16" s="62"/>
      <c r="D16" s="63"/>
      <c r="E16" s="64"/>
      <c r="F16" s="65"/>
      <c r="G16" s="12"/>
      <c r="H16" s="3" t="str">
        <f t="shared" si="5"/>
        <v/>
      </c>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row>
    <row r="17" spans="1:64" s="41" customFormat="1" ht="30" customHeight="1" thickBot="1" x14ac:dyDescent="0.3">
      <c r="A17" s="10"/>
      <c r="B17" s="67" t="s">
        <v>32</v>
      </c>
      <c r="C17" s="68"/>
      <c r="D17" s="69">
        <v>0</v>
      </c>
      <c r="E17" s="70">
        <f>F15</f>
        <v>45984</v>
      </c>
      <c r="F17" s="70">
        <f>E17+27</f>
        <v>46011</v>
      </c>
      <c r="G17" s="12"/>
      <c r="H17" s="3">
        <f t="shared" si="5"/>
        <v>28</v>
      </c>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64" s="41" customFormat="1" ht="30" customHeight="1" thickBot="1" x14ac:dyDescent="0.3">
      <c r="A18" s="10"/>
      <c r="B18" s="67" t="s">
        <v>33</v>
      </c>
      <c r="C18" s="68"/>
      <c r="D18" s="69">
        <v>0</v>
      </c>
      <c r="E18" s="70">
        <f>F17+1</f>
        <v>46012</v>
      </c>
      <c r="F18" s="70">
        <f>E18+20</f>
        <v>46032</v>
      </c>
      <c r="G18" s="12"/>
      <c r="H18" s="3">
        <f t="shared" si="5"/>
        <v>21</v>
      </c>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64" s="41" customFormat="1" ht="30" customHeight="1" thickBot="1" x14ac:dyDescent="0.3">
      <c r="A19" s="10"/>
      <c r="B19" s="67" t="s">
        <v>34</v>
      </c>
      <c r="C19" s="68"/>
      <c r="D19" s="69">
        <v>0</v>
      </c>
      <c r="E19" s="70">
        <f>E18+21</f>
        <v>46033</v>
      </c>
      <c r="F19" s="70">
        <f>E19+20</f>
        <v>46053</v>
      </c>
      <c r="G19" s="12"/>
      <c r="H19" s="3">
        <f t="shared" si="5"/>
        <v>21</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row>
    <row r="20" spans="1:64" s="41" customFormat="1" ht="30" customHeight="1" thickBot="1" x14ac:dyDescent="0.3">
      <c r="A20" s="10"/>
      <c r="B20" s="71" t="s">
        <v>35</v>
      </c>
      <c r="C20" s="72"/>
      <c r="D20" s="73"/>
      <c r="E20" s="74"/>
      <c r="F20" s="75"/>
      <c r="G20" s="12"/>
      <c r="H20" s="3" t="str">
        <f t="shared" si="5"/>
        <v/>
      </c>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row>
    <row r="21" spans="1:64" s="41" customFormat="1" ht="30" customHeight="1" thickBot="1" x14ac:dyDescent="0.3">
      <c r="A21" s="10"/>
      <c r="B21" s="77" t="s">
        <v>36</v>
      </c>
      <c r="C21" s="78"/>
      <c r="D21" s="79">
        <v>0</v>
      </c>
      <c r="E21" s="80">
        <f>E19+21</f>
        <v>46054</v>
      </c>
      <c r="F21" s="80">
        <f>E21+7</f>
        <v>46061</v>
      </c>
      <c r="G21" s="12"/>
      <c r="H21" s="3">
        <f t="shared" si="5"/>
        <v>8</v>
      </c>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row>
    <row r="22" spans="1:64" s="41" customFormat="1" ht="30" customHeight="1" thickBot="1" x14ac:dyDescent="0.3">
      <c r="A22" s="10"/>
      <c r="B22" s="77" t="s">
        <v>37</v>
      </c>
      <c r="C22" s="78"/>
      <c r="D22" s="79">
        <v>0</v>
      </c>
      <c r="E22" s="80">
        <f>F21+1</f>
        <v>46062</v>
      </c>
      <c r="F22" s="80">
        <f>E22+6</f>
        <v>46068</v>
      </c>
      <c r="G22" s="12"/>
      <c r="H22" s="3">
        <f t="shared" si="5"/>
        <v>7</v>
      </c>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row>
    <row r="23" spans="1:64" s="41" customFormat="1" ht="30" customHeight="1" thickBot="1" x14ac:dyDescent="0.3">
      <c r="A23" s="10"/>
      <c r="B23" s="77" t="s">
        <v>38</v>
      </c>
      <c r="C23" s="78"/>
      <c r="D23" s="79">
        <v>0</v>
      </c>
      <c r="E23" s="80">
        <f>F22+1</f>
        <v>46069</v>
      </c>
      <c r="F23" s="80">
        <f>E23+6</f>
        <v>46075</v>
      </c>
      <c r="G23" s="12"/>
      <c r="H23" s="3">
        <f t="shared" si="5"/>
        <v>7</v>
      </c>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row>
    <row r="24" spans="1:64" s="41" customFormat="1" ht="30" customHeight="1" thickBot="1" x14ac:dyDescent="0.3">
      <c r="A24" s="10"/>
      <c r="B24" s="107" t="s">
        <v>39</v>
      </c>
      <c r="C24" s="105"/>
      <c r="D24" s="106"/>
      <c r="E24" s="108"/>
      <c r="F24" s="109"/>
      <c r="G24" s="12"/>
      <c r="H24" s="3" t="str">
        <f t="shared" si="5"/>
        <v/>
      </c>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row>
    <row r="25" spans="1:64" s="41" customFormat="1" ht="30" customHeight="1" thickBot="1" x14ac:dyDescent="0.3">
      <c r="A25" s="10"/>
      <c r="B25" s="110" t="s">
        <v>40</v>
      </c>
      <c r="C25" s="111"/>
      <c r="D25" s="112">
        <v>0</v>
      </c>
      <c r="E25" s="113">
        <f>E23+7</f>
        <v>46076</v>
      </c>
      <c r="F25" s="113">
        <f>E25+6</f>
        <v>46082</v>
      </c>
      <c r="G25" s="12"/>
      <c r="H25" s="3">
        <f t="shared" si="5"/>
        <v>7</v>
      </c>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row>
    <row r="26" spans="1:64" s="41" customFormat="1" ht="30" customHeight="1" thickBot="1" x14ac:dyDescent="0.3">
      <c r="A26" s="10"/>
      <c r="B26" s="110" t="s">
        <v>41</v>
      </c>
      <c r="C26" s="111"/>
      <c r="D26" s="112">
        <v>0</v>
      </c>
      <c r="E26" s="113">
        <f>F25+1</f>
        <v>46083</v>
      </c>
      <c r="F26" s="113">
        <f>E26+6</f>
        <v>46089</v>
      </c>
      <c r="G26" s="12"/>
      <c r="H26" s="3">
        <f t="shared" si="5"/>
        <v>7</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row>
    <row r="27" spans="1:64" s="41" customFormat="1" ht="30" customHeight="1" thickBot="1" x14ac:dyDescent="0.3">
      <c r="A27" s="10"/>
      <c r="B27" s="110" t="s">
        <v>42</v>
      </c>
      <c r="C27" s="111"/>
      <c r="D27" s="112">
        <v>0</v>
      </c>
      <c r="E27" s="113">
        <f>F26+1</f>
        <v>46090</v>
      </c>
      <c r="F27" s="113">
        <f>E27+6</f>
        <v>46096</v>
      </c>
      <c r="G27" s="12"/>
      <c r="H27" s="3">
        <f t="shared" si="5"/>
        <v>7</v>
      </c>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row>
    <row r="28" spans="1:64" s="41" customFormat="1" ht="30" customHeight="1" thickBot="1" x14ac:dyDescent="0.3">
      <c r="A28" s="10"/>
      <c r="B28" s="114" t="s">
        <v>43</v>
      </c>
      <c r="C28" s="115"/>
      <c r="D28" s="116"/>
      <c r="E28" s="117"/>
      <c r="F28" s="118"/>
      <c r="G28" s="12"/>
      <c r="H28" s="3" t="str">
        <f t="shared" si="5"/>
        <v/>
      </c>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row>
    <row r="29" spans="1:64" s="41" customFormat="1" ht="30" customHeight="1" thickBot="1" x14ac:dyDescent="0.3">
      <c r="A29" s="10"/>
      <c r="B29" s="119" t="s">
        <v>44</v>
      </c>
      <c r="C29" s="120"/>
      <c r="D29" s="121">
        <v>0</v>
      </c>
      <c r="E29" s="122">
        <f>E27+7</f>
        <v>46097</v>
      </c>
      <c r="F29" s="122">
        <f>E29+6</f>
        <v>46103</v>
      </c>
      <c r="G29" s="12"/>
      <c r="H29" s="3">
        <f t="shared" si="5"/>
        <v>7</v>
      </c>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row>
    <row r="30" spans="1:64" s="41" customFormat="1" ht="30" customHeight="1" thickBot="1" x14ac:dyDescent="0.3">
      <c r="A30" s="10"/>
      <c r="B30" s="119" t="s">
        <v>45</v>
      </c>
      <c r="C30" s="120"/>
      <c r="D30" s="121">
        <v>0</v>
      </c>
      <c r="E30" s="122">
        <f>F29+1</f>
        <v>46104</v>
      </c>
      <c r="F30" s="122">
        <f>E30+3</f>
        <v>46107</v>
      </c>
      <c r="G30" s="12"/>
      <c r="H30" s="3">
        <f t="shared" si="5"/>
        <v>4</v>
      </c>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row>
    <row r="31" spans="1:64" s="41" customFormat="1" ht="30" customHeight="1" thickBot="1" x14ac:dyDescent="0.3">
      <c r="A31" s="10"/>
      <c r="B31" s="119" t="s">
        <v>46</v>
      </c>
      <c r="C31" s="120"/>
      <c r="D31" s="121">
        <v>0</v>
      </c>
      <c r="E31" s="122">
        <f>F30+1</f>
        <v>46108</v>
      </c>
      <c r="F31" s="122">
        <f>E31+3</f>
        <v>46111</v>
      </c>
      <c r="G31" s="12"/>
      <c r="H31" s="3">
        <f t="shared" si="5"/>
        <v>4</v>
      </c>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1">
    <cfRule type="dataBar" priority="29">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3">
    <cfRule type="expression" dxfId="6" priority="7">
      <formula>AND(TODAY()&gt;=I$5, TODAY()&lt;J$5)</formula>
    </cfRule>
  </conditionalFormatting>
  <conditionalFormatting sqref="I9:BL11">
    <cfRule type="expression" dxfId="14" priority="12">
      <formula>AND(task_start&lt;=I$5,ROUNDDOWN((task_end-task_start+1)*task_progress,0)+task_start-1&gt;=I$5)</formula>
    </cfRule>
    <cfRule type="expression" dxfId="13" priority="13" stopIfTrue="1">
      <formula>AND(task_end&gt;=I$5,task_start&lt;J$5)</formula>
    </cfRule>
  </conditionalFormatting>
  <conditionalFormatting sqref="I13:BL15">
    <cfRule type="expression" dxfId="12" priority="10">
      <formula>AND(task_start&lt;=I$5,ROUNDDOWN((task_end-task_start+1)*task_progress,0)+task_start-1&gt;=I$5)</formula>
    </cfRule>
    <cfRule type="expression" dxfId="11" priority="11" stopIfTrue="1">
      <formula>AND(task_end&gt;=I$5,task_start&lt;J$5)</formula>
    </cfRule>
  </conditionalFormatting>
  <conditionalFormatting sqref="I17:BL19">
    <cfRule type="expression" dxfId="10" priority="8">
      <formula>AND(task_start&lt;=I$5,ROUNDDOWN((task_end-task_start+1)*task_progress,0)+task_start-1&gt;=I$5)</formula>
    </cfRule>
    <cfRule type="expression" dxfId="9" priority="9" stopIfTrue="1">
      <formula>AND(task_end&gt;=I$5,task_start&lt;J$5)</formula>
    </cfRule>
  </conditionalFormatting>
  <conditionalFormatting sqref="I21:BL23">
    <cfRule type="expression" dxfId="8" priority="42">
      <formula>AND(task_start&lt;=I$5,ROUNDDOWN((task_end-task_start+1)*task_progress,0)+task_start-1&gt;=I$5)</formula>
    </cfRule>
    <cfRule type="expression" dxfId="7" priority="43" stopIfTrue="1">
      <formula>AND(task_end&gt;=I$5,task_start&lt;J$5)</formula>
    </cfRule>
  </conditionalFormatting>
  <conditionalFormatting sqref="I24:BL27">
    <cfRule type="expression" dxfId="5" priority="4">
      <formula>AND(TODAY()&gt;=I$5, TODAY()&lt;J$5)</formula>
    </cfRule>
  </conditionalFormatting>
  <conditionalFormatting sqref="I25:BL27">
    <cfRule type="expression" dxfId="4" priority="5">
      <formula>AND(task_start&lt;=I$5,ROUNDDOWN((task_end-task_start+1)*task_progress,0)+task_start-1&gt;=I$5)</formula>
    </cfRule>
    <cfRule type="expression" dxfId="3" priority="6" stopIfTrue="1">
      <formula>AND(task_end&gt;=I$5,task_start&lt;J$5)</formula>
    </cfRule>
  </conditionalFormatting>
  <conditionalFormatting sqref="I28:BL31">
    <cfRule type="expression" dxfId="2" priority="1">
      <formula>AND(TODAY()&gt;=I$5, TODAY()&lt;J$5)</formula>
    </cfRule>
  </conditionalFormatting>
  <conditionalFormatting sqref="I29:BL31">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20 A24 A28" xr:uid="{DE54E5DE-526D-4D71-8D03-E99B4AB2FEE5}"/>
  </dataValidations>
  <printOptions horizontalCentered="1"/>
  <pageMargins left="0.35" right="0.35" top="0.35" bottom="0.5" header="0.3" footer="0.3"/>
  <pageSetup scale="5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4" customWidth="1"/>
    <col min="2" max="16384" width="9" style="1"/>
  </cols>
  <sheetData>
    <row r="1" spans="1:2" ht="46.5" customHeight="1" x14ac:dyDescent="0.25"/>
    <row r="2" spans="1:2" s="6" customFormat="1" ht="15.6" x14ac:dyDescent="0.25">
      <c r="A2" s="83" t="s">
        <v>7</v>
      </c>
      <c r="B2" s="5"/>
    </row>
    <row r="3" spans="1:2" s="8" customFormat="1" ht="27" customHeight="1" x14ac:dyDescent="0.25">
      <c r="A3" s="84"/>
      <c r="B3" s="9"/>
    </row>
    <row r="4" spans="1:2" s="7" customFormat="1" ht="30" x14ac:dyDescent="0.7">
      <c r="A4" s="85" t="s">
        <v>6</v>
      </c>
    </row>
    <row r="5" spans="1:2" ht="74.25" customHeight="1" x14ac:dyDescent="0.25">
      <c r="A5" s="86" t="s">
        <v>14</v>
      </c>
    </row>
    <row r="6" spans="1:2" ht="26.25" customHeight="1" x14ac:dyDescent="0.25">
      <c r="A6" s="85" t="s">
        <v>17</v>
      </c>
    </row>
    <row r="7" spans="1:2" s="4" customFormat="1" ht="205.05" customHeight="1" x14ac:dyDescent="0.25">
      <c r="A7" s="87" t="s">
        <v>16</v>
      </c>
    </row>
    <row r="8" spans="1:2" s="7" customFormat="1" ht="30" x14ac:dyDescent="0.7">
      <c r="A8" s="85" t="s">
        <v>8</v>
      </c>
    </row>
    <row r="9" spans="1:2" ht="41.4" x14ac:dyDescent="0.25">
      <c r="A9" s="86" t="s">
        <v>15</v>
      </c>
    </row>
    <row r="10" spans="1:2" s="4" customFormat="1" ht="28.05" customHeight="1" x14ac:dyDescent="0.25">
      <c r="A10" s="88" t="s">
        <v>13</v>
      </c>
    </row>
    <row r="11" spans="1:2" s="7" customFormat="1" ht="30" x14ac:dyDescent="0.7">
      <c r="A11" s="85" t="s">
        <v>5</v>
      </c>
    </row>
    <row r="12" spans="1:2" ht="27.6" x14ac:dyDescent="0.25">
      <c r="A12" s="86" t="s">
        <v>12</v>
      </c>
    </row>
    <row r="13" spans="1:2" s="4" customFormat="1" ht="28.05" customHeight="1" x14ac:dyDescent="0.25">
      <c r="A13" s="88" t="s">
        <v>1</v>
      </c>
    </row>
    <row r="14" spans="1:2" s="7" customFormat="1" ht="30" x14ac:dyDescent="0.7">
      <c r="A14" s="85" t="s">
        <v>9</v>
      </c>
    </row>
    <row r="15" spans="1:2" ht="75" customHeight="1" x14ac:dyDescent="0.25">
      <c r="A15" s="86" t="s">
        <v>10</v>
      </c>
    </row>
    <row r="16" spans="1:2" ht="69" x14ac:dyDescent="0.25">
      <c r="A16" s="86" t="s">
        <v>11</v>
      </c>
    </row>
    <row r="17" spans="1:1" x14ac:dyDescent="0.25">
      <c r="A17" s="89"/>
    </row>
    <row r="18" spans="1:1" x14ac:dyDescent="0.25">
      <c r="A18" s="89"/>
    </row>
    <row r="19" spans="1:1" x14ac:dyDescent="0.25">
      <c r="A19" s="89"/>
    </row>
    <row r="20" spans="1:1" x14ac:dyDescent="0.25">
      <c r="A20" s="89"/>
    </row>
    <row r="21" spans="1:1" x14ac:dyDescent="0.25">
      <c r="A21" s="89"/>
    </row>
    <row r="22" spans="1:1" x14ac:dyDescent="0.25">
      <c r="A22" s="89"/>
    </row>
    <row r="23" spans="1:1" x14ac:dyDescent="0.25">
      <c r="A23" s="89"/>
    </row>
    <row r="24" spans="1:1" x14ac:dyDescent="0.25">
      <c r="A24" s="8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http://schemas.microsoft.com/office/2006/metadata/properties"/>
    <ds:schemaRef ds:uri="http://schemas.microsoft.com/office/2006/documentManagement/types"/>
    <ds:schemaRef ds:uri="71af3243-3dd4-4a8d-8c0d-dd76da1f02a5"/>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230e9df3-be65-4c73-a93b-d1236ebd677e"/>
    <ds:schemaRef ds:uri="16c05727-aa75-4e4a-9b5f-8a80a1165891"/>
    <ds:schemaRef ds:uri="http://schemas.microsoft.com/sharepoint/v3"/>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Plato Aesthetic</dc:creator>
  <dc:description/>
  <cp:lastModifiedBy>Plato Aesthetic</cp:lastModifiedBy>
  <cp:lastPrinted>2025-11-17T07:47:13Z</cp:lastPrinted>
  <dcterms:created xsi:type="dcterms:W3CDTF">2022-03-11T22:41:12Z</dcterms:created>
  <dcterms:modified xsi:type="dcterms:W3CDTF">2025-11-17T07:50:01Z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